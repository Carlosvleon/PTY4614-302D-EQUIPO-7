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scritorio 2026\DUOC 2026-2\CAPSTONE\DOCUMENTOS POR FASE\DOCUMENTOS FASE1\EQUIPO 7\"/>
    </mc:Choice>
  </mc:AlternateContent>
  <bookViews>
    <workbookView xWindow="0" yWindow="0" windowWidth="28800" windowHeight="12315"/>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<sst xmlns="http://schemas.openxmlformats.org/spreadsheetml/2006/main" count="156" uniqueCount="97">
  <si>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</si>
  <si>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</si>
  <si>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</si>
  <si>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</si>
  <si>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</si>
  <si>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</si>
  <si>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</si>
  <si>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</si>
  <si>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</si>
  <si>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</si>
  <si>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</si>
  <si>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</si>
  <si>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</si>
  <si>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</si>
  <si>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</si>
  <si>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</si>
  <si>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</si>
  <si>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</si>
  <si>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</si>
  <si>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</si>
  <si>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</si>
  <si>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</si>
  <si>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</si>
  <si>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</si>
  <si>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</si>
  <si>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</si>
  <si>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</si>
  <si>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</si>
  <si>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</si>
  <si>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</si>
  <si>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</si>
  <si>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</si>
  <si>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</si>
  <si>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</si>
  <si>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</si>
  <si>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</si>
  <si>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</si>
  <si>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</si>
  <si>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</si>
  <si>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</si>
  <si>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</si>
  <si>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</si>
  <si>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</si>
  <si>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</si>
  <si>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</si>
  <si>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</si>
  <si>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</si>
  <si>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</si>
  <si>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</si>
  <si>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</si>
  <si>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</si>
  <si>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</si>
  <si>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</si>
  <si>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</si>
  <si>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</si>
  <si>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</si>
  <si>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</si>
  <si>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</si>
  <si>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</si>
  <si>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</si>
  <si>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</si>
  <si>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</si>
  <si>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</si>
  <si>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</si>
  <si>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</si>
  <si>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</si>
  <si>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</si>
  <si>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</si>
  <si>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</si>
  <si>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</si>
  <si>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</si>
  <si>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</si>
  <si>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</si>
  <si>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</si>
  <si>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</si>
  <si>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</si>
  <si>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</si>
  <si>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</si>
  <si>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</si>
  <si>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</si>
  <si>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</si>
  <si>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</si>
  <si>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</si>
  <si>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</si>
  <si>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</si>
  <si>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</si>
  <si>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</si>
  <si>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</si>
  <si>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</si>
  <si>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</si>
  <si>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</si>
  <si>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</si>
  <si>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</si>
  <si>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</si>
  <si>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</si>
  <si>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Carlos Simón Antonio Vallejos León</t>
  </si>
  <si>
    <t>Felipe Ignacio Cuevas Roldan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</si>
</sst>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9"/>
  <sheetViews>
    <sheetView tabSelected="1" zoomScale="120" zoomScaleNormal="120" workbookViewId="0">
      <selection activeCell="C45" sqref="C45"/>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7</v>
      </c>
      <c r="D4" s="6">
        <f>$C$35</f>
        <v>6</v>
      </c>
      <c r="E4" s="43">
        <f>C4*C$2+D4*D$2</f>
        <v>6.75</v>
      </c>
      <c r="G4" s="1"/>
    </row>
    <row r="5" spans="1:11" x14ac:dyDescent="0.25">
      <c r="A5" s="5">
        <v>2</v>
      </c>
      <c r="B5" s="32" t="s">
        <v>96</v>
      </c>
      <c r="C5" s="6">
        <f>EVALUACION1!$C$24</f>
        <v>7</v>
      </c>
      <c r="D5" s="6">
        <f>C47</f>
        <v>6</v>
      </c>
      <c r="E5" s="43">
        <f t="shared" ref="E5:E6" si="0">C5*C$2+D5*D$2</f>
        <v>6.75</v>
      </c>
      <c r="G5" s="1"/>
    </row>
    <row r="6" spans="1:11" x14ac:dyDescent="0.25">
      <c r="A6" s="5">
        <v>3</v>
      </c>
      <c r="B6" s="32"/>
      <c r="C6" s="6">
        <f>EVALUACION1!$C$24</f>
        <v>7</v>
      </c>
      <c r="D6" s="6">
        <f>C58</f>
        <v>7</v>
      </c>
      <c r="E6" s="43">
        <f t="shared" si="0"/>
        <v>7</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1" t="s">
        <v>13</v>
      </c>
      <c r="B27" s="49" t="s">
        <v>14</v>
      </c>
      <c r="C27" s="51" t="str">
        <f>$B$4</f>
        <v>Carlos Simón Antonio Vallejos León</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8</v>
      </c>
      <c r="D33" s="16" t="str">
        <f>IF($C33=CL,"X","")</f>
        <v/>
      </c>
      <c r="E33" s="16" t="str">
        <f>IF(D33="X",100*0.1,"")</f>
        <v/>
      </c>
      <c r="F33" s="16" t="str">
        <f>IF($C33=L,"X","")</f>
        <v>X</v>
      </c>
      <c r="G33" s="16">
        <f>IF(F33="X",60*0.1,"")</f>
        <v>6</v>
      </c>
      <c r="H33" s="16" t="str">
        <f>IF($C33=ML,"X","")</f>
        <v/>
      </c>
      <c r="I33" s="16" t="str">
        <f>IF(H33="X",30*0.1,"")</f>
        <v/>
      </c>
      <c r="J33" s="16" t="str">
        <f>IF($C33=NL,"X","")</f>
        <v/>
      </c>
      <c r="K33" s="16" t="str">
        <f>IF($J33="X",0,"")</f>
        <v/>
      </c>
    </row>
    <row r="34" spans="1:11" ht="15.75" customHeight="1" x14ac:dyDescent="0.3">
      <c r="A34" s="62"/>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0"/>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Felipe Ignacio Cuevas Roldan</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8</v>
      </c>
      <c r="D45" s="16" t="str">
        <f>IF($C45=CL,"X","")</f>
        <v/>
      </c>
      <c r="E45" s="16" t="str">
        <f>IF(D45="X",100*0.1,"")</f>
        <v/>
      </c>
      <c r="F45" s="16" t="str">
        <f>IF($C45=L,"X","")</f>
        <v>X</v>
      </c>
      <c r="G45" s="16">
        <f>IF(F45="X",60*0.1,"")</f>
        <v>6</v>
      </c>
      <c r="H45" s="16" t="str">
        <f>IF($C45=ML,"X","")</f>
        <v/>
      </c>
      <c r="I45" s="16" t="str">
        <f>IF(H45="X",30*0.1,"")</f>
        <v/>
      </c>
      <c r="J45" s="16" t="str">
        <f>IF($C45=NL,"X","")</f>
        <v/>
      </c>
      <c r="K45" s="16" t="str">
        <f>IF($J45="X",0,"")</f>
        <v/>
      </c>
    </row>
    <row r="46" spans="1:11" ht="15.75" customHeight="1" x14ac:dyDescent="0.3">
      <c r="A46" s="62"/>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0"/>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1" t="s">
        <v>13</v>
      </c>
      <c r="B50" s="49" t="s">
        <v>14</v>
      </c>
      <c r="C50" s="51">
        <f>B6</f>
        <v>0</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2026-09-22T14:46:04Z</dcterms:modified>
  <cp:category/>
  <cp:contentStatus/>
</cp:coreProperties>
</file>